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Maxsurf"/>
  </sheets>
  <calcPr fullCalcOnLoad="1"/>
</workbook>
</file>

<file path=xl/sharedStrings.xml><?xml version="1.0" encoding="utf-8"?>
<sst xmlns="http://schemas.openxmlformats.org/spreadsheetml/2006/main" count="107" uniqueCount="84">
  <si>
    <t>Displacement</t>
  </si>
  <si>
    <t>tonne</t>
  </si>
  <si>
    <t>Volume</t>
  </si>
  <si>
    <t>m^3</t>
  </si>
  <si>
    <t>Draft to Baseline</t>
  </si>
  <si>
    <t>m</t>
  </si>
  <si>
    <t>Immersed depth</t>
  </si>
  <si>
    <t>Lwl</t>
  </si>
  <si>
    <t>Beam wl</t>
  </si>
  <si>
    <t>WSA</t>
  </si>
  <si>
    <t>m^2</t>
  </si>
  <si>
    <t>Max cross sect area</t>
  </si>
  <si>
    <t>Waterplane area</t>
  </si>
  <si>
    <t>Cp</t>
  </si>
  <si>
    <t>Cb</t>
  </si>
  <si>
    <t>Cm</t>
  </si>
  <si>
    <t>Cwp</t>
  </si>
  <si>
    <t>LCB from zero pt. (+ve fwd) m</t>
  </si>
  <si>
    <t>LCF from zero pt. (+ve fwd) m</t>
  </si>
  <si>
    <t>LCB from zero pt. (+ve fwd) % Lwl</t>
  </si>
  <si>
    <t>%</t>
  </si>
  <si>
    <t>LCF from zero pt. (+ve fwd) % Lwl</t>
  </si>
  <si>
    <t>KB</t>
  </si>
  <si>
    <t>KG</t>
  </si>
  <si>
    <t>BMt</t>
  </si>
  <si>
    <t>BMl</t>
  </si>
  <si>
    <t>GMt</t>
  </si>
  <si>
    <t>GMl</t>
  </si>
  <si>
    <t>KMt</t>
  </si>
  <si>
    <t>KMl</t>
  </si>
  <si>
    <t>Immersion (TPc)</t>
  </si>
  <si>
    <t>tonne/cm</t>
  </si>
  <si>
    <t>MTc</t>
  </si>
  <si>
    <t>tonne.m</t>
  </si>
  <si>
    <t>RM at 1deg = GMt.Disp.sin(1)</t>
  </si>
  <si>
    <t>Precision</t>
  </si>
  <si>
    <t>Medium</t>
  </si>
  <si>
    <t>50 stations</t>
  </si>
  <si>
    <t>VCG</t>
  </si>
  <si>
    <t>Tested at</t>
  </si>
  <si>
    <t>Full Scale</t>
  </si>
  <si>
    <t>VCG (from MS-WL-CL)</t>
  </si>
  <si>
    <t>Scale</t>
  </si>
  <si>
    <t>Main particulars</t>
  </si>
  <si>
    <t>Lpp (m)</t>
  </si>
  <si>
    <t>LCG (from MS-WL-CL)</t>
  </si>
  <si>
    <t>Lwl (m)</t>
  </si>
  <si>
    <t>Bwl (m)</t>
  </si>
  <si>
    <t>D (m)</t>
  </si>
  <si>
    <t>TCG (from MS-WL-CL)</t>
  </si>
  <si>
    <t>T (m)</t>
  </si>
  <si>
    <t>Displacement (m3)</t>
  </si>
  <si>
    <t>S w/o rudder (m2)</t>
  </si>
  <si>
    <t>Radii of Gyration (about CoG)</t>
  </si>
  <si>
    <t>Parallel Moment of Inertia</t>
  </si>
  <si>
    <t>CB</t>
  </si>
  <si>
    <t>CM</t>
  </si>
  <si>
    <t>LCB (%), fwd+</t>
  </si>
  <si>
    <t>Froude Number</t>
  </si>
  <si>
    <t>Speed (m/s)</t>
  </si>
  <si>
    <t>XPRDCT about MS-WL-CL</t>
  </si>
  <si>
    <t>Speed (knots)</t>
  </si>
  <si>
    <t>Rudder (x 2)</t>
  </si>
  <si>
    <t>Type</t>
  </si>
  <si>
    <t>horn</t>
  </si>
  <si>
    <t>S of rudder (m2)</t>
  </si>
  <si>
    <t>Lat. area (m2)</t>
  </si>
  <si>
    <t>Turn rate (deg/s)</t>
  </si>
  <si>
    <t>Propeller</t>
  </si>
  <si>
    <t>FP</t>
  </si>
  <si>
    <t>No. of blades</t>
  </si>
  <si>
    <t>P/D (0.7R)</t>
  </si>
  <si>
    <t>Ae/A0</t>
  </si>
  <si>
    <t>Rotation</t>
  </si>
  <si>
    <t>Right hand</t>
  </si>
  <si>
    <t>Hub ratio</t>
  </si>
  <si>
    <t>Appendages</t>
  </si>
  <si>
    <t>Bilge keels</t>
  </si>
  <si>
    <t>None</t>
  </si>
  <si>
    <t>Test conditions</t>
  </si>
  <si>
    <t>LCG (m)</t>
  </si>
  <si>
    <t>GM (m)</t>
  </si>
  <si>
    <t>ixx/B</t>
  </si>
  <si>
    <t>izz/Lpp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</si>
</sst>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3" applyNumberFormat="1" borderId="2" applyBorder="1" fontId="1" applyFont="1" fillId="2" applyFill="1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8.005" customWidth="1" bestFit="1"/>
    <col min="3" max="3" style="5" width="9.147857142857141" customWidth="1" bestFit="1"/>
    <col min="4" max="4" style="4" width="8.862142857142858" customWidth="1" bestFit="1"/>
    <col min="5" max="5" style="4" width="10.290714285714287" customWidth="1" bestFit="1"/>
    <col min="6" max="6" style="4" width="13.576428571428572" customWidth="1" bestFit="1"/>
    <col min="7" max="7" style="4" width="13.576428571428572" customWidth="1" bestFit="1"/>
    <col min="8" max="8" style="12" width="13.576428571428572" customWidth="1" bestFit="1"/>
    <col min="9" max="9" style="13" width="13.576428571428572" customWidth="1" bestFit="1"/>
    <col min="10" max="10" style="12" width="13.576428571428572" customWidth="1" bestFit="1"/>
    <col min="11" max="11" style="4" width="13.576428571428572" customWidth="1" bestFit="1"/>
    <col min="12" max="12" style="12" width="13.576428571428572" customWidth="1" bestFit="1"/>
    <col min="13" max="13" style="13" width="13.576428571428572" customWidth="1" bestFit="1"/>
    <col min="14" max="14" style="12" width="13.576428571428572" customWidth="1" bestFit="1"/>
  </cols>
  <sheetData>
    <row x14ac:dyDescent="0.25" r="1" customHeight="1" ht="18.75">
      <c r="A1" s="1"/>
      <c r="B1" s="1"/>
      <c r="C1" s="2"/>
      <c r="D1" s="1"/>
      <c r="E1" s="1"/>
      <c r="F1" s="1"/>
      <c r="G1" s="1"/>
      <c r="H1" s="6"/>
      <c r="I1" s="7"/>
      <c r="J1" s="6"/>
      <c r="K1" s="1"/>
      <c r="L1" s="6"/>
      <c r="M1" s="7"/>
      <c r="N1" s="6"/>
    </row>
    <row x14ac:dyDescent="0.25" r="2" customHeight="1" ht="18.75">
      <c r="A2" s="1"/>
      <c r="B2" s="1" t="s">
        <v>39</v>
      </c>
      <c r="C2" s="2" t="s">
        <v>40</v>
      </c>
      <c r="D2" s="1"/>
      <c r="E2" s="1"/>
      <c r="F2" s="1"/>
      <c r="G2" s="1"/>
      <c r="H2" s="6" t="s">
        <v>41</v>
      </c>
      <c r="I2" s="7"/>
      <c r="J2" s="6"/>
      <c r="K2" s="1"/>
      <c r="L2" s="6"/>
      <c r="M2" s="7"/>
      <c r="N2" s="6"/>
    </row>
    <row x14ac:dyDescent="0.25" r="3" customHeight="1" ht="18.75">
      <c r="A3" s="1"/>
      <c r="B3" s="1" t="s">
        <v>42</v>
      </c>
      <c r="C3" s="8">
        <v>1</v>
      </c>
      <c r="D3" s="1"/>
      <c r="E3" s="1"/>
      <c r="F3" s="1"/>
      <c r="G3" s="1"/>
      <c r="H3" s="3">
        <f>Maxsurf!C31</f>
      </c>
      <c r="I3" s="7" t="s">
        <v>5</v>
      </c>
      <c r="J3" s="6"/>
      <c r="K3" s="1"/>
      <c r="L3" s="6"/>
      <c r="M3" s="7"/>
      <c r="N3" s="6"/>
    </row>
    <row x14ac:dyDescent="0.25" r="4" customHeight="1" ht="18.75">
      <c r="A4" s="1"/>
      <c r="B4" s="1" t="s">
        <v>43</v>
      </c>
      <c r="C4" s="2"/>
      <c r="D4" s="1"/>
      <c r="E4" s="1"/>
      <c r="F4" s="1"/>
      <c r="G4" s="1"/>
      <c r="H4" s="6"/>
      <c r="I4" s="7"/>
      <c r="J4" s="6"/>
      <c r="K4" s="1"/>
      <c r="L4" s="6"/>
      <c r="M4" s="7"/>
      <c r="N4" s="6"/>
    </row>
    <row x14ac:dyDescent="0.25" r="5" customHeight="1" ht="18.75">
      <c r="A5" s="1"/>
      <c r="B5" s="1" t="s">
        <v>44</v>
      </c>
      <c r="C5" s="8">
        <v>320</v>
      </c>
      <c r="D5" s="1"/>
      <c r="E5" s="1"/>
      <c r="F5" s="1"/>
      <c r="G5" s="1"/>
      <c r="H5" s="6" t="s">
        <v>45</v>
      </c>
      <c r="I5" s="7"/>
      <c r="J5" s="6"/>
      <c r="K5" s="1"/>
      <c r="L5" s="6"/>
      <c r="M5" s="7"/>
      <c r="N5" s="6"/>
    </row>
    <row x14ac:dyDescent="0.25" r="6" customHeight="1" ht="18.75">
      <c r="A6" s="1"/>
      <c r="B6" s="1" t="s">
        <v>46</v>
      </c>
      <c r="C6" s="3">
        <v>325.5</v>
      </c>
      <c r="D6" s="1"/>
      <c r="E6" s="1"/>
      <c r="F6" s="1"/>
      <c r="G6" s="1"/>
      <c r="H6" s="3">
        <f>Maxsurf!C15</f>
      </c>
      <c r="I6" s="7" t="s">
        <v>5</v>
      </c>
      <c r="J6" s="6"/>
      <c r="K6" s="1"/>
      <c r="L6" s="6"/>
      <c r="M6" s="7"/>
      <c r="N6" s="6"/>
    </row>
    <row x14ac:dyDescent="0.25" r="7" customHeight="1" ht="18.75">
      <c r="A7" s="1"/>
      <c r="B7" s="1" t="s">
        <v>47</v>
      </c>
      <c r="C7" s="8">
        <v>58</v>
      </c>
      <c r="D7" s="1"/>
      <c r="E7" s="1"/>
      <c r="F7" s="1"/>
      <c r="G7" s="1"/>
      <c r="H7" s="6"/>
      <c r="I7" s="7"/>
      <c r="J7" s="6"/>
      <c r="K7" s="1"/>
      <c r="L7" s="6"/>
      <c r="M7" s="7"/>
      <c r="N7" s="6"/>
    </row>
    <row x14ac:dyDescent="0.25" r="8" customHeight="1" ht="18.75">
      <c r="A8" s="1"/>
      <c r="B8" s="1" t="s">
        <v>48</v>
      </c>
      <c r="C8" s="8">
        <v>30</v>
      </c>
      <c r="D8" s="1"/>
      <c r="E8" s="1"/>
      <c r="F8" s="1"/>
      <c r="G8" s="1"/>
      <c r="H8" s="6" t="s">
        <v>49</v>
      </c>
      <c r="I8" s="7"/>
      <c r="J8" s="6"/>
      <c r="K8" s="1"/>
      <c r="L8" s="6"/>
      <c r="M8" s="7"/>
      <c r="N8" s="6"/>
    </row>
    <row x14ac:dyDescent="0.25" r="9" customHeight="1" ht="18.75">
      <c r="A9" s="1"/>
      <c r="B9" s="1" t="s">
        <v>50</v>
      </c>
      <c r="C9" s="3">
        <v>20.8</v>
      </c>
      <c r="D9" s="1"/>
      <c r="E9" s="1"/>
      <c r="F9" s="1"/>
      <c r="G9" s="1"/>
      <c r="H9" s="8">
        <v>0</v>
      </c>
      <c r="I9" s="7" t="s">
        <v>5</v>
      </c>
      <c r="J9" s="6"/>
      <c r="K9" s="1"/>
      <c r="L9" s="6"/>
      <c r="M9" s="7"/>
      <c r="N9" s="6"/>
    </row>
    <row x14ac:dyDescent="0.25" r="10" customHeight="1" ht="18.75">
      <c r="A10" s="1"/>
      <c r="B10" s="1" t="s">
        <v>51</v>
      </c>
      <c r="C10" s="8">
        <v>312622</v>
      </c>
      <c r="D10" s="1"/>
      <c r="E10" s="1"/>
      <c r="F10" s="1"/>
      <c r="G10" s="1"/>
      <c r="H10" s="6"/>
      <c r="I10" s="7"/>
      <c r="J10" s="6"/>
      <c r="K10" s="1"/>
      <c r="L10" s="6"/>
      <c r="M10" s="7"/>
      <c r="N10" s="6"/>
    </row>
    <row x14ac:dyDescent="0.25" r="11" customHeight="1" ht="18.75">
      <c r="A11" s="1"/>
      <c r="B11" s="1" t="s">
        <v>52</v>
      </c>
      <c r="C11" s="8">
        <v>27194</v>
      </c>
      <c r="D11" s="1"/>
      <c r="E11" s="1"/>
      <c r="F11" s="1"/>
      <c r="G11" s="1"/>
      <c r="H11" s="6" t="s">
        <v>53</v>
      </c>
      <c r="I11" s="7"/>
      <c r="J11" s="6"/>
      <c r="K11" s="1"/>
      <c r="L11" s="6" t="s">
        <v>54</v>
      </c>
      <c r="M11" s="7"/>
      <c r="N11" s="6"/>
    </row>
    <row x14ac:dyDescent="0.25" r="12" customHeight="1" ht="18.75">
      <c r="A12" s="1"/>
      <c r="B12" s="1" t="s">
        <v>55</v>
      </c>
      <c r="C12" s="3">
        <v>0.8098</v>
      </c>
      <c r="D12" s="1"/>
      <c r="E12" s="1"/>
      <c r="F12" s="1"/>
      <c r="G12" s="1"/>
      <c r="H12" s="3">
        <f>C40*C7</f>
      </c>
      <c r="I12" s="8">
        <v>0</v>
      </c>
      <c r="J12" s="8">
        <v>0</v>
      </c>
      <c r="K12" s="1"/>
      <c r="L12" s="3">
        <f>(H9^2+H3^2)</f>
      </c>
      <c r="M12" s="8">
        <f>-H6*H9</f>
      </c>
      <c r="N12" s="3">
        <f>-H6*H3</f>
      </c>
    </row>
    <row x14ac:dyDescent="0.25" r="13" customHeight="1" ht="18.75">
      <c r="A13" s="1"/>
      <c r="B13" s="1" t="s">
        <v>56</v>
      </c>
      <c r="C13" s="3">
        <v>0.998</v>
      </c>
      <c r="D13" s="1"/>
      <c r="E13" s="1"/>
      <c r="F13" s="1"/>
      <c r="G13" s="1"/>
      <c r="H13" s="8">
        <v>0</v>
      </c>
      <c r="I13" s="8">
        <f>C41*C5</f>
      </c>
      <c r="J13" s="8">
        <v>0</v>
      </c>
      <c r="K13" s="1"/>
      <c r="L13" s="8">
        <f>M12</f>
      </c>
      <c r="M13" s="3">
        <f>SQRT(H6^2+H3^2)</f>
      </c>
      <c r="N13" s="8">
        <f>-H3*H9</f>
      </c>
    </row>
    <row x14ac:dyDescent="0.25" r="14" customHeight="1" ht="18.75">
      <c r="A14" s="1"/>
      <c r="B14" s="1" t="s">
        <v>57</v>
      </c>
      <c r="C14" s="3">
        <v>3.48</v>
      </c>
      <c r="D14" s="1"/>
      <c r="E14" s="1"/>
      <c r="F14" s="1"/>
      <c r="G14" s="1"/>
      <c r="H14" s="8">
        <v>0</v>
      </c>
      <c r="I14" s="8">
        <v>0</v>
      </c>
      <c r="J14" s="8">
        <f>C41*C5</f>
      </c>
      <c r="K14" s="1"/>
      <c r="L14" s="3">
        <f>N12</f>
      </c>
      <c r="M14" s="8">
        <f>N13</f>
      </c>
      <c r="N14" s="3">
        <f>SQRT(H6^2+H9^2)</f>
      </c>
    </row>
    <row x14ac:dyDescent="0.25" r="15" customHeight="1" ht="18.75">
      <c r="A15" s="1"/>
      <c r="B15" s="1" t="s">
        <v>58</v>
      </c>
      <c r="C15" s="3">
        <v>0.142</v>
      </c>
      <c r="D15" s="1"/>
      <c r="E15" s="1"/>
      <c r="F15" s="1"/>
      <c r="G15" s="1"/>
      <c r="H15" s="6"/>
      <c r="I15" s="7"/>
      <c r="J15" s="6"/>
      <c r="K15" s="1"/>
      <c r="L15" s="6"/>
      <c r="M15" s="7"/>
      <c r="N15" s="6"/>
    </row>
    <row x14ac:dyDescent="0.25" r="16" customHeight="1" ht="18.75">
      <c r="A16" s="1"/>
      <c r="B16" s="1" t="s">
        <v>59</v>
      </c>
      <c r="C16" s="9">
        <f>C15*SQRT(C5*9.80665)</f>
      </c>
      <c r="D16" s="9"/>
      <c r="E16" s="9"/>
      <c r="F16" s="1"/>
      <c r="G16" s="1"/>
      <c r="H16" s="6" t="s">
        <v>60</v>
      </c>
      <c r="I16" s="7"/>
      <c r="J16" s="6"/>
      <c r="K16" s="1"/>
      <c r="L16" s="6"/>
      <c r="M16" s="7"/>
      <c r="N16" s="6"/>
    </row>
    <row x14ac:dyDescent="0.25" r="17" customHeight="1" ht="18.75">
      <c r="A17" s="1"/>
      <c r="B17" s="1" t="s">
        <v>61</v>
      </c>
      <c r="C17" s="3">
        <f>C16/0.514444</f>
      </c>
      <c r="D17" s="1"/>
      <c r="E17" s="1"/>
      <c r="F17" s="1"/>
      <c r="G17" s="1"/>
      <c r="H17" s="10">
        <f>SIGN(L17)*SQRT(ABS(L17))</f>
      </c>
      <c r="I17" s="11">
        <f>SIGN(M17)*SQRT(ABS(M17))</f>
      </c>
      <c r="J17" s="10">
        <f>SIGN(N17)*SQRT(ABS(N17))</f>
      </c>
      <c r="K17" s="1"/>
      <c r="L17" s="3">
        <f>H12^2 + L12</f>
      </c>
      <c r="M17" s="8">
        <f>I12^2 + M12</f>
      </c>
      <c r="N17" s="3">
        <f>J12^2 + N12</f>
      </c>
    </row>
    <row x14ac:dyDescent="0.25" r="18" customHeight="1" ht="18.75">
      <c r="A18" s="1"/>
      <c r="B18" s="1"/>
      <c r="C18" s="2"/>
      <c r="D18" s="1"/>
      <c r="E18" s="1"/>
      <c r="F18" s="1"/>
      <c r="G18" s="1"/>
      <c r="H18" s="11">
        <f>SIGN(L18)*SQRT(ABS(L18))</f>
      </c>
      <c r="I18" s="10">
        <f>SIGN(M18)*SQRT(ABS(M18))</f>
      </c>
      <c r="J18" s="11">
        <f>SIGN(N18)*SQRT(ABS(N18))</f>
      </c>
      <c r="K18" s="1"/>
      <c r="L18" s="8">
        <f>H13^2 + L13</f>
      </c>
      <c r="M18" s="3">
        <f>I13^2 + M13</f>
      </c>
      <c r="N18" s="8">
        <f>J13^2 + N13</f>
      </c>
    </row>
    <row x14ac:dyDescent="0.25" r="19" customHeight="1" ht="18.75">
      <c r="A19" s="1"/>
      <c r="B19" s="1" t="s">
        <v>62</v>
      </c>
      <c r="C19" s="2"/>
      <c r="D19" s="1"/>
      <c r="E19" s="1"/>
      <c r="F19" s="1"/>
      <c r="G19" s="1"/>
      <c r="H19" s="10">
        <f>SIGN(L19)*SQRT(ABS(L19))</f>
      </c>
      <c r="I19" s="11">
        <f>SIGN(M19)*SQRT(ABS(M19))</f>
      </c>
      <c r="J19" s="10">
        <f>SIGN(N19)*SQRT(ABS(N19))</f>
      </c>
      <c r="K19" s="1"/>
      <c r="L19" s="3">
        <f>H14^2 + L14</f>
      </c>
      <c r="M19" s="8">
        <f>I14^2 + M14</f>
      </c>
      <c r="N19" s="3">
        <f>J14^2 + N14</f>
      </c>
    </row>
    <row x14ac:dyDescent="0.25" r="20" customHeight="1" ht="18.75">
      <c r="A20" s="1"/>
      <c r="B20" s="1" t="s">
        <v>63</v>
      </c>
      <c r="C20" s="2" t="s">
        <v>64</v>
      </c>
      <c r="D20" s="1"/>
      <c r="E20" s="1"/>
      <c r="F20" s="1"/>
      <c r="G20" s="1"/>
      <c r="H20" s="6"/>
      <c r="I20" s="7"/>
      <c r="J20" s="6"/>
      <c r="K20" s="1"/>
      <c r="L20" s="6"/>
      <c r="M20" s="7"/>
      <c r="N20" s="6"/>
    </row>
    <row x14ac:dyDescent="0.25" r="21" customHeight="1" ht="18.75">
      <c r="A21" s="1"/>
      <c r="B21" s="1" t="s">
        <v>65</v>
      </c>
      <c r="C21" s="3">
        <v>273.3</v>
      </c>
      <c r="D21" s="1"/>
      <c r="E21" s="1"/>
      <c r="F21" s="1"/>
      <c r="G21" s="1"/>
      <c r="H21" s="6"/>
      <c r="I21" s="7"/>
      <c r="J21" s="6"/>
      <c r="K21" s="1"/>
      <c r="L21" s="6"/>
      <c r="M21" s="7"/>
      <c r="N21" s="6"/>
    </row>
    <row x14ac:dyDescent="0.25" r="22" customHeight="1" ht="18.75">
      <c r="A22" s="1"/>
      <c r="B22" s="1" t="s">
        <v>66</v>
      </c>
      <c r="C22" s="3">
        <v>136.7</v>
      </c>
      <c r="D22" s="1"/>
      <c r="E22" s="1"/>
      <c r="F22" s="1"/>
      <c r="G22" s="1"/>
      <c r="H22" s="6"/>
      <c r="I22" s="7"/>
      <c r="J22" s="6"/>
      <c r="K22" s="1"/>
      <c r="L22" s="6"/>
      <c r="M22" s="7"/>
      <c r="N22" s="6"/>
    </row>
    <row x14ac:dyDescent="0.25" r="23" customHeight="1" ht="18.75">
      <c r="A23" s="1"/>
      <c r="B23" s="1" t="s">
        <v>67</v>
      </c>
      <c r="C23" s="3">
        <v>2.32</v>
      </c>
      <c r="D23" s="1"/>
      <c r="E23" s="1"/>
      <c r="F23" s="1"/>
      <c r="G23" s="1"/>
      <c r="H23" s="6"/>
      <c r="I23" s="7"/>
      <c r="J23" s="6"/>
      <c r="K23" s="1"/>
      <c r="L23" s="6"/>
      <c r="M23" s="7"/>
      <c r="N23" s="6"/>
    </row>
    <row x14ac:dyDescent="0.25" r="24" customHeight="1" ht="18.75">
      <c r="A24" s="1"/>
      <c r="B24" s="1"/>
      <c r="C24" s="2"/>
      <c r="D24" s="1"/>
      <c r="E24" s="1"/>
      <c r="F24" s="1"/>
      <c r="G24" s="1"/>
      <c r="H24" s="6"/>
      <c r="I24" s="7"/>
      <c r="J24" s="6"/>
      <c r="K24" s="1"/>
      <c r="L24" s="6"/>
      <c r="M24" s="7"/>
      <c r="N24" s="6"/>
    </row>
    <row x14ac:dyDescent="0.25" r="25" customHeight="1" ht="18.75">
      <c r="A25" s="1"/>
      <c r="B25" s="1" t="s">
        <v>68</v>
      </c>
      <c r="C25" s="2"/>
      <c r="D25" s="1"/>
      <c r="E25" s="1"/>
      <c r="F25" s="1"/>
      <c r="G25" s="1"/>
      <c r="H25" s="6"/>
      <c r="I25" s="7"/>
      <c r="J25" s="6"/>
      <c r="K25" s="1"/>
      <c r="L25" s="6"/>
      <c r="M25" s="7"/>
      <c r="N25" s="6"/>
    </row>
    <row x14ac:dyDescent="0.25" r="26" customHeight="1" ht="18.75">
      <c r="A26" s="1"/>
      <c r="B26" s="1" t="s">
        <v>63</v>
      </c>
      <c r="C26" s="2" t="s">
        <v>69</v>
      </c>
      <c r="D26" s="1"/>
      <c r="E26" s="1"/>
      <c r="F26" s="1"/>
      <c r="G26" s="1"/>
      <c r="H26" s="6"/>
      <c r="I26" s="7"/>
      <c r="J26" s="6"/>
      <c r="K26" s="1"/>
      <c r="L26" s="6"/>
      <c r="M26" s="7"/>
      <c r="N26" s="6"/>
    </row>
    <row x14ac:dyDescent="0.25" r="27" customHeight="1" ht="18.75">
      <c r="A27" s="1"/>
      <c r="B27" s="1" t="s">
        <v>70</v>
      </c>
      <c r="C27" s="8">
        <v>4</v>
      </c>
      <c r="D27" s="1"/>
      <c r="E27" s="1"/>
      <c r="F27" s="1"/>
      <c r="G27" s="1"/>
      <c r="H27" s="6"/>
      <c r="I27" s="7"/>
      <c r="J27" s="6"/>
      <c r="K27" s="1"/>
      <c r="L27" s="6"/>
      <c r="M27" s="7"/>
      <c r="N27" s="6"/>
    </row>
    <row x14ac:dyDescent="0.25" r="28" customHeight="1" ht="18.75">
      <c r="A28" s="1"/>
      <c r="B28" s="1" t="s">
        <v>48</v>
      </c>
      <c r="C28" s="3">
        <v>9.86</v>
      </c>
      <c r="D28" s="1"/>
      <c r="E28" s="1"/>
      <c r="F28" s="1"/>
      <c r="G28" s="1"/>
      <c r="H28" s="6"/>
      <c r="I28" s="7"/>
      <c r="J28" s="6"/>
      <c r="K28" s="1"/>
      <c r="L28" s="6"/>
      <c r="M28" s="7"/>
      <c r="N28" s="6"/>
    </row>
    <row x14ac:dyDescent="0.25" r="29" customHeight="1" ht="18.75">
      <c r="A29" s="1"/>
      <c r="B29" s="1" t="s">
        <v>71</v>
      </c>
      <c r="C29" s="3">
        <v>0.721</v>
      </c>
      <c r="D29" s="1"/>
      <c r="E29" s="1"/>
      <c r="F29" s="1"/>
      <c r="G29" s="1"/>
      <c r="H29" s="6"/>
      <c r="I29" s="7"/>
      <c r="J29" s="6"/>
      <c r="K29" s="1"/>
      <c r="L29" s="6"/>
      <c r="M29" s="7"/>
      <c r="N29" s="6"/>
    </row>
    <row x14ac:dyDescent="0.25" r="30" customHeight="1" ht="18.75">
      <c r="A30" s="1"/>
      <c r="B30" s="1" t="s">
        <v>72</v>
      </c>
      <c r="C30" s="3">
        <v>0.431</v>
      </c>
      <c r="D30" s="1"/>
      <c r="E30" s="1"/>
      <c r="F30" s="1"/>
      <c r="G30" s="1"/>
      <c r="H30" s="6"/>
      <c r="I30" s="7"/>
      <c r="J30" s="6"/>
      <c r="K30" s="1"/>
      <c r="L30" s="6"/>
      <c r="M30" s="7"/>
      <c r="N30" s="6"/>
    </row>
    <row x14ac:dyDescent="0.25" r="31" customHeight="1" ht="18.75">
      <c r="A31" s="1"/>
      <c r="B31" s="1" t="s">
        <v>73</v>
      </c>
      <c r="C31" s="2" t="s">
        <v>74</v>
      </c>
      <c r="D31" s="1"/>
      <c r="E31" s="1"/>
      <c r="F31" s="1"/>
      <c r="G31" s="1"/>
      <c r="H31" s="6"/>
      <c r="I31" s="7"/>
      <c r="J31" s="6"/>
      <c r="K31" s="1"/>
      <c r="L31" s="6"/>
      <c r="M31" s="7"/>
      <c r="N31" s="6"/>
    </row>
    <row x14ac:dyDescent="0.25" r="32" customHeight="1" ht="18.75">
      <c r="A32" s="1"/>
      <c r="B32" s="1" t="s">
        <v>75</v>
      </c>
      <c r="C32" s="3">
        <v>0.155</v>
      </c>
      <c r="D32" s="1"/>
      <c r="E32" s="1"/>
      <c r="F32" s="1"/>
      <c r="G32" s="1"/>
      <c r="H32" s="6"/>
      <c r="I32" s="7"/>
      <c r="J32" s="6"/>
      <c r="K32" s="1"/>
      <c r="L32" s="6"/>
      <c r="M32" s="7"/>
      <c r="N32" s="6"/>
    </row>
    <row x14ac:dyDescent="0.25" r="33" customHeight="1" ht="18.75">
      <c r="A33" s="1"/>
      <c r="B33" s="1"/>
      <c r="C33" s="2"/>
      <c r="D33" s="1"/>
      <c r="E33" s="1"/>
      <c r="F33" s="1"/>
      <c r="G33" s="1"/>
      <c r="H33" s="6"/>
      <c r="I33" s="7"/>
      <c r="J33" s="6"/>
      <c r="K33" s="1"/>
      <c r="L33" s="6"/>
      <c r="M33" s="7"/>
      <c r="N33" s="6"/>
    </row>
    <row x14ac:dyDescent="0.25" r="34" customHeight="1" ht="18.75">
      <c r="A34" s="1"/>
      <c r="B34" s="1" t="s">
        <v>76</v>
      </c>
      <c r="C34" s="2"/>
      <c r="D34" s="1"/>
      <c r="E34" s="1"/>
      <c r="F34" s="1"/>
      <c r="G34" s="1"/>
      <c r="H34" s="6"/>
      <c r="I34" s="7"/>
      <c r="J34" s="6"/>
      <c r="K34" s="1"/>
      <c r="L34" s="6"/>
      <c r="M34" s="7"/>
      <c r="N34" s="6"/>
    </row>
    <row x14ac:dyDescent="0.25" r="35" customHeight="1" ht="18.75">
      <c r="A35" s="1"/>
      <c r="B35" s="1" t="s">
        <v>77</v>
      </c>
      <c r="C35" s="2" t="s">
        <v>78</v>
      </c>
      <c r="D35" s="1"/>
      <c r="E35" s="1"/>
      <c r="F35" s="1"/>
      <c r="G35" s="1"/>
      <c r="H35" s="6"/>
      <c r="I35" s="7"/>
      <c r="J35" s="6"/>
      <c r="K35" s="1"/>
      <c r="L35" s="6"/>
      <c r="M35" s="7"/>
      <c r="N35" s="6"/>
    </row>
    <row x14ac:dyDescent="0.25" r="36" customHeight="1" ht="18.75">
      <c r="A36" s="1"/>
      <c r="B36" s="1"/>
      <c r="C36" s="2"/>
      <c r="D36" s="1"/>
      <c r="E36" s="1"/>
      <c r="F36" s="1"/>
      <c r="G36" s="1"/>
      <c r="H36" s="6"/>
      <c r="I36" s="7"/>
      <c r="J36" s="6"/>
      <c r="K36" s="1"/>
      <c r="L36" s="6"/>
      <c r="M36" s="7"/>
      <c r="N36" s="6"/>
    </row>
    <row x14ac:dyDescent="0.25" r="37" customHeight="1" ht="18.75">
      <c r="A37" s="1"/>
      <c r="B37" s="1" t="s">
        <v>79</v>
      </c>
      <c r="C37" s="2"/>
      <c r="D37" s="1"/>
      <c r="E37" s="1"/>
      <c r="F37" s="1"/>
      <c r="G37" s="1"/>
      <c r="H37" s="6"/>
      <c r="I37" s="7"/>
      <c r="J37" s="6"/>
      <c r="K37" s="1"/>
      <c r="L37" s="6"/>
      <c r="M37" s="7"/>
      <c r="N37" s="6"/>
    </row>
    <row x14ac:dyDescent="0.25" r="38" customHeight="1" ht="18.75">
      <c r="A38" s="1"/>
      <c r="B38" s="1" t="s">
        <v>80</v>
      </c>
      <c r="C38" s="3">
        <v>171.1</v>
      </c>
      <c r="D38" s="1"/>
      <c r="E38" s="1"/>
      <c r="F38" s="1"/>
      <c r="G38" s="1"/>
      <c r="H38" s="6"/>
      <c r="I38" s="7"/>
      <c r="J38" s="6"/>
      <c r="K38" s="1"/>
      <c r="L38" s="6"/>
      <c r="M38" s="7"/>
      <c r="N38" s="6"/>
    </row>
    <row x14ac:dyDescent="0.25" r="39" customHeight="1" ht="18.75">
      <c r="A39" s="1"/>
      <c r="B39" s="1" t="s">
        <v>81</v>
      </c>
      <c r="C39" s="3">
        <v>5.71</v>
      </c>
      <c r="D39" s="1"/>
      <c r="E39" s="1"/>
      <c r="F39" s="1"/>
      <c r="G39" s="1"/>
      <c r="H39" s="6"/>
      <c r="I39" s="7"/>
      <c r="J39" s="6"/>
      <c r="K39" s="1"/>
      <c r="L39" s="6"/>
      <c r="M39" s="7"/>
      <c r="N39" s="6"/>
    </row>
    <row x14ac:dyDescent="0.25" r="40" customHeight="1" ht="18.75">
      <c r="A40" s="1"/>
      <c r="B40" s="1" t="s">
        <v>82</v>
      </c>
      <c r="C40" s="3">
        <v>0.4</v>
      </c>
      <c r="D40" s="1"/>
      <c r="E40" s="1"/>
      <c r="F40" s="1"/>
      <c r="G40" s="1"/>
      <c r="H40" s="6"/>
      <c r="I40" s="7"/>
      <c r="J40" s="6"/>
      <c r="K40" s="1"/>
      <c r="L40" s="6"/>
      <c r="M40" s="7"/>
      <c r="N40" s="6"/>
    </row>
    <row x14ac:dyDescent="0.25" r="41" customHeight="1" ht="18.75">
      <c r="A41" s="1"/>
      <c r="B41" s="1" t="s">
        <v>83</v>
      </c>
      <c r="C41" s="3">
        <v>0.25</v>
      </c>
      <c r="D41" s="1"/>
      <c r="E41" s="1"/>
      <c r="F41" s="1"/>
      <c r="G41" s="1"/>
      <c r="H41" s="6"/>
      <c r="I41" s="7"/>
      <c r="J41" s="6"/>
      <c r="K41" s="1"/>
      <c r="L41" s="6"/>
      <c r="M41" s="7"/>
      <c r="N4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1"/>
  <sheetViews>
    <sheetView workbookViewId="0"/>
  </sheetViews>
  <sheetFormatPr defaultRowHeight="15" x14ac:dyDescent="0.25"/>
  <cols>
    <col min="1" max="1" style="4" width="13.576428571428572" customWidth="1" bestFit="1"/>
    <col min="2" max="2" style="4" width="27.433571428571426" customWidth="1" bestFit="1"/>
    <col min="3" max="3" style="5" width="11.005" customWidth="1" bestFit="1"/>
    <col min="4" max="4" style="4" width="13.576428571428572" customWidth="1" bestFit="1"/>
  </cols>
  <sheetData>
    <row x14ac:dyDescent="0.25" r="1" customHeight="1" ht="18.75">
      <c r="A1" s="1"/>
      <c r="B1" s="1"/>
      <c r="C1" s="2"/>
      <c r="D1" s="1"/>
    </row>
    <row x14ac:dyDescent="0.25" r="2" customHeight="1" ht="18.75">
      <c r="A2" s="1"/>
      <c r="B2" s="1" t="s">
        <v>0</v>
      </c>
      <c r="C2" s="3">
        <v>320184.143</v>
      </c>
      <c r="D2" s="1" t="s">
        <v>1</v>
      </c>
    </row>
    <row x14ac:dyDescent="0.25" r="3" customHeight="1" ht="18.75">
      <c r="A3" s="1"/>
      <c r="B3" s="1" t="s">
        <v>2</v>
      </c>
      <c r="C3" s="3">
        <v>312374.774</v>
      </c>
      <c r="D3" s="1" t="s">
        <v>3</v>
      </c>
    </row>
    <row x14ac:dyDescent="0.25" r="4" customHeight="1" ht="18.75">
      <c r="A4" s="1"/>
      <c r="B4" s="1" t="s">
        <v>4</v>
      </c>
      <c r="C4" s="3">
        <v>20.8</v>
      </c>
      <c r="D4" s="1" t="s">
        <v>5</v>
      </c>
    </row>
    <row x14ac:dyDescent="0.25" r="5" customHeight="1" ht="18.75">
      <c r="A5" s="1"/>
      <c r="B5" s="1" t="s">
        <v>6</v>
      </c>
      <c r="C5" s="3">
        <v>20.899</v>
      </c>
      <c r="D5" s="1" t="s">
        <v>5</v>
      </c>
    </row>
    <row x14ac:dyDescent="0.25" r="6" customHeight="1" ht="18.75">
      <c r="A6" s="1"/>
      <c r="B6" s="1" t="s">
        <v>7</v>
      </c>
      <c r="C6" s="3">
        <v>325.501</v>
      </c>
      <c r="D6" s="1" t="s">
        <v>5</v>
      </c>
    </row>
    <row x14ac:dyDescent="0.25" r="7" customHeight="1" ht="18.75">
      <c r="A7" s="1"/>
      <c r="B7" s="1" t="s">
        <v>8</v>
      </c>
      <c r="C7" s="3">
        <v>58.101</v>
      </c>
      <c r="D7" s="1" t="s">
        <v>5</v>
      </c>
    </row>
    <row x14ac:dyDescent="0.25" r="8" customHeight="1" ht="18.75">
      <c r="A8" s="1"/>
      <c r="B8" s="1" t="s">
        <v>9</v>
      </c>
      <c r="C8" s="3">
        <v>27683.268</v>
      </c>
      <c r="D8" s="1" t="s">
        <v>10</v>
      </c>
    </row>
    <row x14ac:dyDescent="0.25" r="9" customHeight="1" ht="18.75">
      <c r="A9" s="1"/>
      <c r="B9" s="1" t="s">
        <v>11</v>
      </c>
      <c r="C9" s="3">
        <v>1204.682</v>
      </c>
      <c r="D9" s="1" t="s">
        <v>10</v>
      </c>
    </row>
    <row x14ac:dyDescent="0.25" r="10" customHeight="1" ht="18.75">
      <c r="A10" s="1"/>
      <c r="B10" s="1" t="s">
        <v>12</v>
      </c>
      <c r="C10" s="3">
        <v>16728.42</v>
      </c>
      <c r="D10" s="1" t="s">
        <v>10</v>
      </c>
    </row>
    <row x14ac:dyDescent="0.25" r="11" customHeight="1" ht="18.75">
      <c r="A11" s="1"/>
      <c r="B11" s="1" t="s">
        <v>13</v>
      </c>
      <c r="C11" s="3">
        <v>0.797</v>
      </c>
      <c r="D11" s="1"/>
    </row>
    <row x14ac:dyDescent="0.25" r="12" customHeight="1" ht="18.75">
      <c r="A12" s="1"/>
      <c r="B12" s="1" t="s">
        <v>14</v>
      </c>
      <c r="C12" s="3">
        <v>0.79</v>
      </c>
      <c r="D12" s="1"/>
    </row>
    <row x14ac:dyDescent="0.25" r="13" customHeight="1" ht="18.75">
      <c r="A13" s="1"/>
      <c r="B13" s="1" t="s">
        <v>15</v>
      </c>
      <c r="C13" s="3">
        <v>0.993</v>
      </c>
      <c r="D13" s="1"/>
    </row>
    <row x14ac:dyDescent="0.25" r="14" customHeight="1" ht="18.75">
      <c r="A14" s="1"/>
      <c r="B14" s="1" t="s">
        <v>16</v>
      </c>
      <c r="C14" s="3">
        <v>0.885</v>
      </c>
      <c r="D14" s="1"/>
    </row>
    <row x14ac:dyDescent="0.25" r="15" customHeight="1" ht="18.75">
      <c r="A15" s="1"/>
      <c r="B15" s="1" t="s">
        <v>17</v>
      </c>
      <c r="C15" s="3">
        <v>11.158</v>
      </c>
      <c r="D15" s="1" t="s">
        <v>5</v>
      </c>
    </row>
    <row x14ac:dyDescent="0.25" r="16" customHeight="1" ht="18.75">
      <c r="A16" s="1"/>
      <c r="B16" s="1" t="s">
        <v>18</v>
      </c>
      <c r="C16" s="3">
        <v>0.146</v>
      </c>
      <c r="D16" s="1" t="s">
        <v>5</v>
      </c>
    </row>
    <row x14ac:dyDescent="0.25" r="17" customHeight="1" ht="18.75">
      <c r="A17" s="1"/>
      <c r="B17" s="1" t="s">
        <v>19</v>
      </c>
      <c r="C17" s="3">
        <v>3.428</v>
      </c>
      <c r="D17" s="1" t="s">
        <v>20</v>
      </c>
    </row>
    <row x14ac:dyDescent="0.25" r="18" customHeight="1" ht="18.75">
      <c r="A18" s="1"/>
      <c r="B18" s="1" t="s">
        <v>21</v>
      </c>
      <c r="C18" s="3">
        <v>0.045</v>
      </c>
      <c r="D18" s="1" t="s">
        <v>20</v>
      </c>
    </row>
    <row x14ac:dyDescent="0.25" r="19" customHeight="1" ht="18.75">
      <c r="A19" s="1"/>
      <c r="B19" s="1" t="s">
        <v>22</v>
      </c>
      <c r="C19" s="3">
        <v>10.877</v>
      </c>
      <c r="D19" s="1" t="s">
        <v>5</v>
      </c>
    </row>
    <row x14ac:dyDescent="0.25" r="20" customHeight="1" ht="18.75">
      <c r="A20" s="1"/>
      <c r="B20" s="1" t="s">
        <v>23</v>
      </c>
      <c r="C20" s="3">
        <v>18.6</v>
      </c>
      <c r="D20" s="1" t="s">
        <v>5</v>
      </c>
    </row>
    <row x14ac:dyDescent="0.25" r="21" customHeight="1" ht="18.75">
      <c r="A21" s="1"/>
      <c r="B21" s="1" t="s">
        <v>24</v>
      </c>
      <c r="C21" s="3">
        <v>13.432</v>
      </c>
      <c r="D21" s="1" t="s">
        <v>5</v>
      </c>
    </row>
    <row x14ac:dyDescent="0.25" r="22" customHeight="1" ht="18.75">
      <c r="A22" s="1"/>
      <c r="B22" s="1" t="s">
        <v>25</v>
      </c>
      <c r="C22" s="3">
        <v>387.627</v>
      </c>
      <c r="D22" s="1" t="s">
        <v>5</v>
      </c>
    </row>
    <row x14ac:dyDescent="0.25" r="23" customHeight="1" ht="18.75">
      <c r="A23" s="1"/>
      <c r="B23" s="1" t="s">
        <v>26</v>
      </c>
      <c r="C23" s="3">
        <v>5.709</v>
      </c>
      <c r="D23" s="1" t="s">
        <v>5</v>
      </c>
    </row>
    <row x14ac:dyDescent="0.25" r="24" customHeight="1" ht="18.75">
      <c r="A24" s="1"/>
      <c r="B24" s="1" t="s">
        <v>27</v>
      </c>
      <c r="C24" s="3">
        <v>379.903</v>
      </c>
      <c r="D24" s="1" t="s">
        <v>5</v>
      </c>
    </row>
    <row x14ac:dyDescent="0.25" r="25" customHeight="1" ht="18.75">
      <c r="A25" s="1"/>
      <c r="B25" s="1" t="s">
        <v>28</v>
      </c>
      <c r="C25" s="3">
        <v>24.309</v>
      </c>
      <c r="D25" s="1" t="s">
        <v>5</v>
      </c>
    </row>
    <row x14ac:dyDescent="0.25" r="26" customHeight="1" ht="18.75">
      <c r="A26" s="1"/>
      <c r="B26" s="1" t="s">
        <v>29</v>
      </c>
      <c r="C26" s="3">
        <v>398.503</v>
      </c>
      <c r="D26" s="1" t="s">
        <v>5</v>
      </c>
    </row>
    <row x14ac:dyDescent="0.25" r="27" customHeight="1" ht="18.75">
      <c r="A27" s="1"/>
      <c r="B27" s="1" t="s">
        <v>30</v>
      </c>
      <c r="C27" s="3">
        <v>171.466</v>
      </c>
      <c r="D27" s="1" t="s">
        <v>31</v>
      </c>
    </row>
    <row x14ac:dyDescent="0.25" r="28" customHeight="1" ht="18.75">
      <c r="A28" s="1"/>
      <c r="B28" s="1" t="s">
        <v>32</v>
      </c>
      <c r="C28" s="3">
        <v>3801.221</v>
      </c>
      <c r="D28" s="1" t="s">
        <v>33</v>
      </c>
    </row>
    <row x14ac:dyDescent="0.25" r="29" customHeight="1" ht="18.75">
      <c r="A29" s="1"/>
      <c r="B29" s="1" t="s">
        <v>34</v>
      </c>
      <c r="C29" s="3">
        <v>31901.069</v>
      </c>
      <c r="D29" s="1" t="s">
        <v>33</v>
      </c>
    </row>
    <row x14ac:dyDescent="0.25" r="30" customHeight="1" ht="18.75">
      <c r="A30" s="1"/>
      <c r="B30" s="1" t="s">
        <v>35</v>
      </c>
      <c r="C30" s="2" t="s">
        <v>36</v>
      </c>
      <c r="D30" s="1" t="s">
        <v>37</v>
      </c>
    </row>
    <row x14ac:dyDescent="0.25" r="31" customHeight="1" ht="18.75">
      <c r="A31" s="1"/>
      <c r="B31" s="1" t="s">
        <v>38</v>
      </c>
      <c r="C31" s="3">
        <f>C21+C19-C23-C4</f>
      </c>
      <c r="D31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Maxsurf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2024-10-26T23:22:37.595Z</dcterms:created>
  <dcterms:modified xsi:type="dcterms:W3CDTF">2024-10-26T23:22:37.595Z</dcterms:modified>
</cp:coreProperties>
</file>