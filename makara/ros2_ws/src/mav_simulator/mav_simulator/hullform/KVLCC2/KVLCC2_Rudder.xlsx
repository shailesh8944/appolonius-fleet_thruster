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Academics\Research\makara\ros2_ws\src\mav_simulator\mav_simulator\hullform\KVLCC2\"/>
    </mc:Choice>
  </mc:AlternateContent>
  <xr:revisionPtr revIDLastSave="0" documentId="13_ncr:1_{D9CCEAF0-79B5-4855-99FD-CA3DD73E7E8A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3" i="1" l="1"/>
  <c r="F12" i="1"/>
  <c r="F17" i="1"/>
  <c r="B8" i="1"/>
  <c r="B20" i="1"/>
  <c r="B6" i="1"/>
  <c r="C19" i="1" l="1"/>
  <c r="F19" i="1"/>
  <c r="F21" i="1"/>
  <c r="B12" i="1"/>
  <c r="B14" i="1" s="1"/>
  <c r="B16" i="1" s="1"/>
  <c r="B13" i="1"/>
  <c r="B17" i="1" l="1"/>
  <c r="F9" i="1" s="1"/>
  <c r="H9" i="1" l="1"/>
  <c r="B23" i="1"/>
  <c r="B24" i="1" s="1"/>
</calcChain>
</file>

<file path=xl/sharedStrings.xml><?xml version="1.0" encoding="utf-8"?>
<sst xmlns="http://schemas.openxmlformats.org/spreadsheetml/2006/main" count="38" uniqueCount="35">
  <si>
    <t>Port</t>
  </si>
  <si>
    <t>Stbd</t>
  </si>
  <si>
    <t>a1</t>
  </si>
  <si>
    <t>a2</t>
  </si>
  <si>
    <t>a3</t>
  </si>
  <si>
    <t>U_des</t>
  </si>
  <si>
    <t>L</t>
  </si>
  <si>
    <t>scale</t>
  </si>
  <si>
    <t xml:space="preserve">Fn </t>
  </si>
  <si>
    <t>g</t>
  </si>
  <si>
    <t>J_des</t>
  </si>
  <si>
    <t>wp (wake fraction)</t>
  </si>
  <si>
    <t>(taken same as KCS)</t>
  </si>
  <si>
    <t>n</t>
  </si>
  <si>
    <t>Dp</t>
  </si>
  <si>
    <t>Kt1</t>
  </si>
  <si>
    <t>Kt2</t>
  </si>
  <si>
    <t>Kt (avg)</t>
  </si>
  <si>
    <t>D</t>
  </si>
  <si>
    <t>X (dist b/w rudder and prop)</t>
  </si>
  <si>
    <t>Kt/J^2</t>
  </si>
  <si>
    <t>Kr</t>
  </si>
  <si>
    <t>R</t>
  </si>
  <si>
    <t>Rudder height</t>
  </si>
  <si>
    <t>eta</t>
  </si>
  <si>
    <t>Rudder height in prop slipstream (as per D) - Rhino</t>
  </si>
  <si>
    <t>xp_R</t>
  </si>
  <si>
    <t>lp_R</t>
  </si>
  <si>
    <t>gamma_R(b_p &gt; 0)</t>
  </si>
  <si>
    <t>gamma_R(b_p &lt; 0)</t>
  </si>
  <si>
    <t>tR</t>
  </si>
  <si>
    <t xml:space="preserve">aH </t>
  </si>
  <si>
    <t>xp_H</t>
  </si>
  <si>
    <t>Rudder Area</t>
  </si>
  <si>
    <t>Aspect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</si>
</sst>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24"/>
  <sheetViews>
    <sheetView tabSelected="1" workbookViewId="0">
      <selection activeCell="F23" sqref="F23"/>
    </sheetView>
  </sheetViews>
  <sheetFormatPr defaultRowHeight="14.25" x14ac:dyDescent="0.45"/>
  <cols>
    <col min="1" max="1" width="29" customWidth="1"/>
    <col min="3" max="3" width="18.86328125" bestFit="1" customWidth="1"/>
    <col min="5" max="5" width="17.3984375" bestFit="1" customWidth="1"/>
  </cols>
  <sheetData>
    <row r="2" spans="1:9" x14ac:dyDescent="0.45">
      <c r="A2" t="s">
        <v>7</v>
      </c>
      <c r="B2">
        <v>1</v>
      </c>
      <c r="F2" t="s">
        <v>0</v>
      </c>
      <c r="I2" t="s">
        <v>1</v>
      </c>
    </row>
    <row r="3" spans="1:9" x14ac:dyDescent="0.45">
      <c r="A3" t="s">
        <v>6</v>
      </c>
      <c r="B3">
        <v>320</v>
      </c>
      <c r="E3" t="s">
        <v>2</v>
      </c>
      <c r="F3">
        <v>-8.7187100000000003E-2</v>
      </c>
      <c r="H3" t="s">
        <v>2</v>
      </c>
      <c r="I3">
        <v>-8.5785749999999994E-2</v>
      </c>
    </row>
    <row r="4" spans="1:9" x14ac:dyDescent="0.45">
      <c r="A4" t="s">
        <v>8</v>
      </c>
      <c r="B4">
        <v>0.14199999999999999</v>
      </c>
      <c r="E4" t="s">
        <v>3</v>
      </c>
      <c r="F4">
        <v>-0.28821656000000001</v>
      </c>
      <c r="H4" t="s">
        <v>3</v>
      </c>
      <c r="I4">
        <v>-0.29107261000000001</v>
      </c>
    </row>
    <row r="5" spans="1:9" x14ac:dyDescent="0.45">
      <c r="A5" t="s">
        <v>9</v>
      </c>
      <c r="B5">
        <v>9.8066499999999994</v>
      </c>
      <c r="E5" t="s">
        <v>4</v>
      </c>
      <c r="F5">
        <v>0.64837020000000001</v>
      </c>
      <c r="H5" t="s">
        <v>4</v>
      </c>
      <c r="I5">
        <v>0.63682324999999995</v>
      </c>
    </row>
    <row r="6" spans="1:9" x14ac:dyDescent="0.45">
      <c r="A6" t="s">
        <v>5</v>
      </c>
      <c r="B6">
        <f>B4*SQRT(B5*B3)</f>
        <v>7.9546975424587947</v>
      </c>
    </row>
    <row r="8" spans="1:9" x14ac:dyDescent="0.45">
      <c r="A8" t="s">
        <v>13</v>
      </c>
      <c r="B8">
        <f>800/60</f>
        <v>13.333333333333334</v>
      </c>
    </row>
    <row r="9" spans="1:9" x14ac:dyDescent="0.45">
      <c r="A9" t="s">
        <v>14</v>
      </c>
      <c r="B9">
        <v>9.86</v>
      </c>
      <c r="E9" t="s">
        <v>18</v>
      </c>
      <c r="F9">
        <f>SQRT((SQRT(1+8*B17/PI())+1) / (2 * (1 + B20*(SQRT(1 + 8*B17/PI())-1)))) * B9</f>
        <v>7.4155455986191479</v>
      </c>
      <c r="G9" t="s">
        <v>22</v>
      </c>
      <c r="H9">
        <f>F9/2</f>
        <v>3.7077727993095739</v>
      </c>
    </row>
    <row r="10" spans="1:9" x14ac:dyDescent="0.45">
      <c r="A10" t="s">
        <v>11</v>
      </c>
      <c r="B10">
        <v>0.35499999999999998</v>
      </c>
      <c r="C10" t="s">
        <v>12</v>
      </c>
    </row>
    <row r="12" spans="1:9" x14ac:dyDescent="0.45">
      <c r="A12" t="s">
        <v>10</v>
      </c>
      <c r="B12">
        <f>B6*(1-B10)/B8/B9</f>
        <v>3.9027230589903067E-2</v>
      </c>
      <c r="E12" t="s">
        <v>26</v>
      </c>
      <c r="F12">
        <f>B19/B3</f>
        <v>2.0624999999999998E-2</v>
      </c>
    </row>
    <row r="13" spans="1:9" x14ac:dyDescent="0.45">
      <c r="A13" t="s">
        <v>15</v>
      </c>
      <c r="B13">
        <f>F3*B12*B12+F4*B12+F5</f>
        <v>0.63698910902512085</v>
      </c>
      <c r="E13" t="s">
        <v>27</v>
      </c>
      <c r="F13">
        <v>-0.75</v>
      </c>
    </row>
    <row r="14" spans="1:9" x14ac:dyDescent="0.45">
      <c r="A14" t="s">
        <v>16</v>
      </c>
      <c r="B14">
        <f>I3*B12*B12+I4*B12+I5</f>
        <v>0.62533282973403137</v>
      </c>
      <c r="E14" t="s">
        <v>28</v>
      </c>
      <c r="F14">
        <v>0.6</v>
      </c>
    </row>
    <row r="15" spans="1:9" x14ac:dyDescent="0.45">
      <c r="E15" t="s">
        <v>29</v>
      </c>
      <c r="F15">
        <v>0.3</v>
      </c>
    </row>
    <row r="16" spans="1:9" x14ac:dyDescent="0.45">
      <c r="A16" t="s">
        <v>17</v>
      </c>
      <c r="B16">
        <f>B14</f>
        <v>0.62533282973403137</v>
      </c>
    </row>
    <row r="17" spans="1:7" x14ac:dyDescent="0.45">
      <c r="A17" t="s">
        <v>20</v>
      </c>
      <c r="B17">
        <f>B16/B12/B12</f>
        <v>410.55917380663806</v>
      </c>
      <c r="E17" t="s">
        <v>30</v>
      </c>
      <c r="F17">
        <f>1-0.75</f>
        <v>0.25</v>
      </c>
    </row>
    <row r="18" spans="1:7" x14ac:dyDescent="0.45">
      <c r="E18" t="s">
        <v>31</v>
      </c>
      <c r="F18">
        <v>0</v>
      </c>
    </row>
    <row r="19" spans="1:7" x14ac:dyDescent="0.45">
      <c r="A19" t="s">
        <v>19</v>
      </c>
      <c r="B19">
        <v>6.6</v>
      </c>
      <c r="C19">
        <f>B19/B9</f>
        <v>0.66937119675456391</v>
      </c>
      <c r="E19" t="s">
        <v>32</v>
      </c>
      <c r="F19">
        <f>F12</f>
        <v>2.0624999999999998E-2</v>
      </c>
    </row>
    <row r="20" spans="1:7" x14ac:dyDescent="0.45">
      <c r="A20" t="s">
        <v>21</v>
      </c>
      <c r="B20">
        <f>0.5 + 0.5*(B19/B9) / ((B19/B9) + 0.15)</f>
        <v>0.90846639435573706</v>
      </c>
    </row>
    <row r="21" spans="1:7" x14ac:dyDescent="0.45">
      <c r="E21" t="s">
        <v>33</v>
      </c>
      <c r="F21">
        <f>G21/B3/B3</f>
        <v>2.6689453125000001E-3</v>
      </c>
      <c r="G21">
        <v>273.3</v>
      </c>
    </row>
    <row r="22" spans="1:7" x14ac:dyDescent="0.45">
      <c r="A22" t="s">
        <v>23</v>
      </c>
      <c r="B22">
        <v>15.8</v>
      </c>
    </row>
    <row r="23" spans="1:7" ht="28.5" x14ac:dyDescent="0.45">
      <c r="A23" s="1" t="s">
        <v>25</v>
      </c>
      <c r="B23">
        <f>F9</f>
        <v>7.4155455986191479</v>
      </c>
      <c r="E23" t="s">
        <v>34</v>
      </c>
      <c r="F23">
        <f>B22/(3.5+5.14)</f>
        <v>1.8287037037037037</v>
      </c>
    </row>
    <row r="24" spans="1:7" x14ac:dyDescent="0.45">
      <c r="A24" t="s">
        <v>24</v>
      </c>
      <c r="B24">
        <f>B23/B22</f>
        <v>0.46933832902652833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Abhilash Somayajula</dc:creator>
  <cp:lastModifiedBy>Abhilash Somayajula</cp:lastModifiedBy>
  <dcterms:created xsi:type="dcterms:W3CDTF">2015-06-05T18:17:20Z</dcterms:created>
  <dcterms:modified xsi:type="dcterms:W3CDTF">2024-10-10T06:25:28Z</dcterms:modified>
</cp:coreProperties>
</file>