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cademics\Research\Github\makara\ros2_ws\src\mav_simulator\mav_simulator\hullform\"/>
    </mc:Choice>
  </mc:AlternateContent>
  <xr:revisionPtr revIDLastSave="0" documentId="13_ncr:1_{5EC68E50-E2F3-4FDC-BE05-69FC20ACE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Maxsur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" l="1"/>
  <c r="I19" i="1"/>
  <c r="H19" i="1"/>
  <c r="J18" i="1"/>
  <c r="I18" i="1"/>
  <c r="H18" i="1"/>
  <c r="J17" i="1"/>
  <c r="I17" i="1"/>
  <c r="H17" i="1"/>
  <c r="L18" i="1"/>
  <c r="M18" i="1"/>
  <c r="N18" i="1"/>
  <c r="L19" i="1"/>
  <c r="M19" i="1"/>
  <c r="N19" i="1"/>
  <c r="M17" i="1"/>
  <c r="N17" i="1"/>
  <c r="L17" i="1"/>
  <c r="N13" i="1"/>
  <c r="N12" i="1"/>
  <c r="M12" i="1"/>
  <c r="L12" i="1"/>
  <c r="L14" i="1"/>
  <c r="M14" i="1"/>
  <c r="L13" i="1"/>
  <c r="N14" i="1"/>
  <c r="M13" i="1"/>
  <c r="H6" i="1"/>
  <c r="H3" i="1"/>
  <c r="J14" i="1"/>
  <c r="I13" i="1"/>
  <c r="H12" i="1"/>
  <c r="C16" i="1"/>
  <c r="E16" i="1"/>
  <c r="D16" i="1"/>
  <c r="C31" i="2"/>
</calcChain>
</file>

<file path=xl/sharedStrings.xml><?xml version="1.0" encoding="utf-8"?>
<sst xmlns="http://schemas.openxmlformats.org/spreadsheetml/2006/main" count="130" uniqueCount="86">
  <si>
    <t>Displacement</t>
  </si>
  <si>
    <t>tonne</t>
  </si>
  <si>
    <t>Volume</t>
  </si>
  <si>
    <t>m^3</t>
  </si>
  <si>
    <t>Draft to Baseline</t>
  </si>
  <si>
    <t>m</t>
  </si>
  <si>
    <t>Immersed depth</t>
  </si>
  <si>
    <t>Lwl</t>
  </si>
  <si>
    <t>Beam wl</t>
  </si>
  <si>
    <t>WSA</t>
  </si>
  <si>
    <t>m^2</t>
  </si>
  <si>
    <t>Max cross sect area</t>
  </si>
  <si>
    <t>Waterplane area</t>
  </si>
  <si>
    <t>Cp</t>
  </si>
  <si>
    <t>Cb</t>
  </si>
  <si>
    <t>Cm</t>
  </si>
  <si>
    <t>Cwp</t>
  </si>
  <si>
    <t>LCB from zero pt. (+ve fwd) m</t>
  </si>
  <si>
    <t>LCF from zero pt. (+ve fwd) m</t>
  </si>
  <si>
    <t>LCB from zero pt. (+ve fwd) % Lwl</t>
  </si>
  <si>
    <t>%</t>
  </si>
  <si>
    <t>LCF from zero pt. (+ve fwd) % Lwl</t>
  </si>
  <si>
    <t>KB</t>
  </si>
  <si>
    <t>KG</t>
  </si>
  <si>
    <t>BMt</t>
  </si>
  <si>
    <t>BMl</t>
  </si>
  <si>
    <t>GMt</t>
  </si>
  <si>
    <t>GMl</t>
  </si>
  <si>
    <t>KMt</t>
  </si>
  <si>
    <t>KMl</t>
  </si>
  <si>
    <t>Immersion (TPc)</t>
  </si>
  <si>
    <t>tonne/cm</t>
  </si>
  <si>
    <t>MTc</t>
  </si>
  <si>
    <t>tonne.m</t>
  </si>
  <si>
    <t>RM at 1deg = GMt.Disp.sin(1)</t>
  </si>
  <si>
    <t>Precision</t>
  </si>
  <si>
    <t>Medium</t>
  </si>
  <si>
    <t>50 stations</t>
  </si>
  <si>
    <t>VCG</t>
  </si>
  <si>
    <t>Tested at</t>
  </si>
  <si>
    <t>IIHR (free)</t>
  </si>
  <si>
    <t>SNU (PMM)</t>
  </si>
  <si>
    <t>Scale</t>
  </si>
  <si>
    <t>Main particulars</t>
  </si>
  <si>
    <t>Lpp (m)</t>
  </si>
  <si>
    <t>-</t>
  </si>
  <si>
    <t>Lwl (m)</t>
  </si>
  <si>
    <t>Bwl (m)</t>
  </si>
  <si>
    <t>D (m)</t>
  </si>
  <si>
    <t>T (m)</t>
  </si>
  <si>
    <t>Displacement (m3)</t>
  </si>
  <si>
    <t>S w/o rudder (m2)</t>
  </si>
  <si>
    <t>CB</t>
  </si>
  <si>
    <t>CM</t>
  </si>
  <si>
    <t>LCB (%), fwd+</t>
  </si>
  <si>
    <t>Rudder (x 2)</t>
  </si>
  <si>
    <t>Type</t>
  </si>
  <si>
    <t>spade</t>
  </si>
  <si>
    <t>S of rudder (m2)</t>
  </si>
  <si>
    <t>Lat. area (m2)</t>
  </si>
  <si>
    <t>Turn rate (deg/s)</t>
  </si>
  <si>
    <t>Propeller</t>
  </si>
  <si>
    <t>FP</t>
  </si>
  <si>
    <t>No. of blades</t>
  </si>
  <si>
    <t>P/D (0.7R)</t>
  </si>
  <si>
    <t>Ae/A0</t>
  </si>
  <si>
    <t>Rotation</t>
  </si>
  <si>
    <t>Inwards</t>
  </si>
  <si>
    <t>Hub ratio</t>
  </si>
  <si>
    <t>Appendages</t>
  </si>
  <si>
    <t>Bilge keels</t>
  </si>
  <si>
    <t>None</t>
  </si>
  <si>
    <t>Test conditions</t>
  </si>
  <si>
    <t>LCG (m)</t>
  </si>
  <si>
    <t>GM (m)</t>
  </si>
  <si>
    <t>ixx/B</t>
  </si>
  <si>
    <t>izz/Lpp</t>
  </si>
  <si>
    <t>Full Scale</t>
  </si>
  <si>
    <t>Froude Number</t>
  </si>
  <si>
    <t>Speed (m/s)</t>
  </si>
  <si>
    <t>Radii of Gyration (about CoG)</t>
  </si>
  <si>
    <t>XPRDCT about MS-WL-CL</t>
  </si>
  <si>
    <t>VCG (from MS-WL-CL)</t>
  </si>
  <si>
    <t>LCG (from MS-WL-CL)</t>
  </si>
  <si>
    <t>TCG (from MS-WL-CL)</t>
  </si>
  <si>
    <t>Parallel Moment of Inertia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</si>
</sst>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0"/>
  <sheetViews>
    <sheetView tabSelected="1" workbookViewId="0">
      <selection activeCell="L6" sqref="L6"/>
    </sheetView>
  </sheetViews>
  <sheetFormatPr defaultRowHeight="15" x14ac:dyDescent="0.25"/>
  <cols>
    <col min="2" max="2" width="18" bestFit="1" customWidth="1"/>
    <col min="3" max="3" width="9.140625" bestFit="1" customWidth="1"/>
    <col min="4" max="4" width="8.85546875" bestFit="1" customWidth="1"/>
    <col min="5" max="5" width="10.28515625" bestFit="1" customWidth="1"/>
  </cols>
  <sheetData>
    <row r="2" spans="2:14" x14ac:dyDescent="0.25">
      <c r="B2" t="s">
        <v>39</v>
      </c>
      <c r="C2" t="s">
        <v>77</v>
      </c>
      <c r="D2" t="s">
        <v>40</v>
      </c>
      <c r="E2" t="s">
        <v>41</v>
      </c>
      <c r="H2" t="s">
        <v>82</v>
      </c>
    </row>
    <row r="3" spans="2:14" x14ac:dyDescent="0.25">
      <c r="B3" t="s">
        <v>42</v>
      </c>
      <c r="C3">
        <v>1</v>
      </c>
      <c r="D3">
        <v>48.935499999999998</v>
      </c>
      <c r="E3">
        <v>48.935499999999998</v>
      </c>
      <c r="H3">
        <f>Maxsurf!C31</f>
        <v>2.2769999999999992</v>
      </c>
      <c r="I3" t="s">
        <v>5</v>
      </c>
    </row>
    <row r="4" spans="2:14" x14ac:dyDescent="0.25">
      <c r="B4" t="s">
        <v>43</v>
      </c>
    </row>
    <row r="5" spans="2:14" x14ac:dyDescent="0.25">
      <c r="B5" t="s">
        <v>44</v>
      </c>
      <c r="C5" t="s">
        <v>45</v>
      </c>
      <c r="D5" t="s">
        <v>45</v>
      </c>
      <c r="E5" t="s">
        <v>45</v>
      </c>
      <c r="H5" t="s">
        <v>83</v>
      </c>
    </row>
    <row r="6" spans="2:14" x14ac:dyDescent="0.25">
      <c r="B6" t="s">
        <v>46</v>
      </c>
      <c r="C6">
        <v>154</v>
      </c>
      <c r="D6">
        <v>3.1469999999999998</v>
      </c>
      <c r="E6">
        <v>3.1469999999999998</v>
      </c>
      <c r="H6">
        <f>Maxsurf!C15</f>
        <v>-2.6150000000000002</v>
      </c>
      <c r="I6" t="s">
        <v>5</v>
      </c>
    </row>
    <row r="7" spans="2:14" x14ac:dyDescent="0.25">
      <c r="B7" t="s">
        <v>47</v>
      </c>
      <c r="C7">
        <v>18.78</v>
      </c>
      <c r="D7">
        <v>0.38379999999999997</v>
      </c>
      <c r="E7">
        <v>0.38379999999999997</v>
      </c>
    </row>
    <row r="8" spans="2:14" x14ac:dyDescent="0.25">
      <c r="B8" t="s">
        <v>48</v>
      </c>
      <c r="C8">
        <v>14.5</v>
      </c>
      <c r="D8">
        <v>0.29630000000000001</v>
      </c>
      <c r="E8">
        <v>0.29630000000000001</v>
      </c>
      <c r="H8" t="s">
        <v>84</v>
      </c>
    </row>
    <row r="9" spans="2:14" x14ac:dyDescent="0.25">
      <c r="B9" t="s">
        <v>49</v>
      </c>
      <c r="C9">
        <v>5.4939999999999998</v>
      </c>
      <c r="D9">
        <v>0.14349999999999999</v>
      </c>
      <c r="E9">
        <v>0.14349999999999999</v>
      </c>
      <c r="H9">
        <v>0</v>
      </c>
      <c r="I9" t="s">
        <v>5</v>
      </c>
    </row>
    <row r="10" spans="2:14" x14ac:dyDescent="0.25">
      <c r="B10" t="s">
        <v>50</v>
      </c>
      <c r="C10">
        <v>8507</v>
      </c>
      <c r="D10">
        <v>7.2599999999999998E-2</v>
      </c>
      <c r="E10">
        <v>7.2599999999999998E-2</v>
      </c>
    </row>
    <row r="11" spans="2:14" x14ac:dyDescent="0.25">
      <c r="B11" t="s">
        <v>51</v>
      </c>
      <c r="C11" t="s">
        <v>45</v>
      </c>
      <c r="D11" t="s">
        <v>45</v>
      </c>
      <c r="E11" t="s">
        <v>45</v>
      </c>
      <c r="H11" t="s">
        <v>80</v>
      </c>
      <c r="L11" t="s">
        <v>85</v>
      </c>
    </row>
    <row r="12" spans="2:14" x14ac:dyDescent="0.25">
      <c r="B12" t="s">
        <v>52</v>
      </c>
      <c r="C12">
        <v>0.53500000000000003</v>
      </c>
      <c r="D12">
        <v>0.53500000000000003</v>
      </c>
      <c r="E12">
        <v>0.53500000000000003</v>
      </c>
      <c r="H12">
        <f>C39*C7</f>
        <v>8.3383200000000013</v>
      </c>
      <c r="I12">
        <v>0</v>
      </c>
      <c r="J12">
        <v>0</v>
      </c>
      <c r="L12">
        <f>(H9^2+H3^2)</f>
        <v>5.1847289999999964</v>
      </c>
      <c r="M12">
        <f>-H6*H9</f>
        <v>0</v>
      </c>
      <c r="N12">
        <f>-H6*H3</f>
        <v>5.9543549999999987</v>
      </c>
    </row>
    <row r="13" spans="2:14" x14ac:dyDescent="0.25">
      <c r="B13" t="s">
        <v>53</v>
      </c>
      <c r="C13" t="s">
        <v>45</v>
      </c>
      <c r="D13" t="s">
        <v>45</v>
      </c>
      <c r="E13" t="s">
        <v>45</v>
      </c>
      <c r="H13">
        <v>0</v>
      </c>
      <c r="I13">
        <f>C40*C6</f>
        <v>38.5</v>
      </c>
      <c r="J13">
        <v>0</v>
      </c>
      <c r="L13">
        <f>M12</f>
        <v>0</v>
      </c>
      <c r="M13">
        <f>SQRT(H6^2+H3^2)</f>
        <v>3.4674131568072473</v>
      </c>
      <c r="N13">
        <f>-H3*H9</f>
        <v>0</v>
      </c>
    </row>
    <row r="14" spans="2:14" x14ac:dyDescent="0.25">
      <c r="B14" t="s">
        <v>54</v>
      </c>
      <c r="C14">
        <v>-1.68</v>
      </c>
      <c r="D14">
        <v>-1.68</v>
      </c>
      <c r="E14">
        <v>-1.68</v>
      </c>
      <c r="H14">
        <v>0</v>
      </c>
      <c r="I14">
        <v>0</v>
      </c>
      <c r="J14">
        <f>C40*C6</f>
        <v>38.5</v>
      </c>
      <c r="L14">
        <f>N12</f>
        <v>5.9543549999999987</v>
      </c>
      <c r="M14">
        <f>N13</f>
        <v>0</v>
      </c>
      <c r="N14">
        <f>SQRT(H6^2+H9^2)</f>
        <v>2.6150000000000002</v>
      </c>
    </row>
    <row r="15" spans="2:14" x14ac:dyDescent="0.25">
      <c r="B15" t="s">
        <v>78</v>
      </c>
      <c r="C15">
        <v>0.2</v>
      </c>
      <c r="D15">
        <v>0.2</v>
      </c>
      <c r="E15">
        <v>0.2</v>
      </c>
    </row>
    <row r="16" spans="2:14" x14ac:dyDescent="0.25">
      <c r="B16" t="s">
        <v>79</v>
      </c>
      <c r="C16" s="1">
        <f>C15*SQRT(C6*9.80665)</f>
        <v>7.7723203742511799</v>
      </c>
      <c r="D16" s="1">
        <f>D15*SQRT(D6*9.80665)</f>
        <v>1.1110630504161318</v>
      </c>
      <c r="E16" s="1">
        <f>E15*SQRT(E6*9.80665)</f>
        <v>1.1110630504161318</v>
      </c>
      <c r="H16" t="s">
        <v>81</v>
      </c>
    </row>
    <row r="17" spans="2:14" x14ac:dyDescent="0.25">
      <c r="H17" s="2">
        <f t="shared" ref="H17:J19" si="0">SIGN(L17)*SQRT(ABS(L17))</f>
        <v>8.6436282556805981</v>
      </c>
      <c r="I17" s="2">
        <f t="shared" si="0"/>
        <v>0</v>
      </c>
      <c r="J17" s="2">
        <f t="shared" si="0"/>
        <v>2.4401547082101165</v>
      </c>
      <c r="L17">
        <f t="shared" ref="L17:N19" si="1">H12^2 + L12</f>
        <v>74.712309422400011</v>
      </c>
      <c r="M17">
        <f t="shared" si="1"/>
        <v>0</v>
      </c>
      <c r="N17">
        <f t="shared" si="1"/>
        <v>5.9543549999999987</v>
      </c>
    </row>
    <row r="18" spans="2:14" x14ac:dyDescent="0.25">
      <c r="B18" t="s">
        <v>55</v>
      </c>
      <c r="H18" s="2">
        <f t="shared" si="0"/>
        <v>0</v>
      </c>
      <c r="I18" s="2">
        <f t="shared" si="0"/>
        <v>38.54500503511197</v>
      </c>
      <c r="J18" s="2">
        <f t="shared" si="0"/>
        <v>0</v>
      </c>
      <c r="L18">
        <f t="shared" si="1"/>
        <v>0</v>
      </c>
      <c r="M18">
        <f t="shared" si="1"/>
        <v>1485.7174131568072</v>
      </c>
      <c r="N18">
        <f t="shared" si="1"/>
        <v>0</v>
      </c>
    </row>
    <row r="19" spans="2:14" x14ac:dyDescent="0.25">
      <c r="B19" t="s">
        <v>56</v>
      </c>
      <c r="C19" t="s">
        <v>57</v>
      </c>
      <c r="D19" t="s">
        <v>57</v>
      </c>
      <c r="E19" t="s">
        <v>57</v>
      </c>
      <c r="H19" s="2">
        <f t="shared" si="0"/>
        <v>2.4401547082101165</v>
      </c>
      <c r="I19" s="2">
        <f t="shared" si="0"/>
        <v>0</v>
      </c>
      <c r="J19" s="2">
        <f t="shared" si="0"/>
        <v>38.533946073559612</v>
      </c>
      <c r="L19">
        <f t="shared" si="1"/>
        <v>5.9543549999999987</v>
      </c>
      <c r="M19">
        <f t="shared" si="1"/>
        <v>0</v>
      </c>
      <c r="N19">
        <f t="shared" si="1"/>
        <v>1484.865</v>
      </c>
    </row>
    <row r="20" spans="2:14" x14ac:dyDescent="0.25">
      <c r="B20" t="s">
        <v>58</v>
      </c>
      <c r="C20">
        <v>57.277999999999999</v>
      </c>
      <c r="D20">
        <v>2.4E-2</v>
      </c>
      <c r="E20">
        <v>2.4E-2</v>
      </c>
    </row>
    <row r="21" spans="2:14" x14ac:dyDescent="0.25">
      <c r="B21" t="s">
        <v>59</v>
      </c>
      <c r="C21">
        <v>28.638999999999999</v>
      </c>
      <c r="D21">
        <v>1.2E-2</v>
      </c>
      <c r="E21">
        <v>1.2E-2</v>
      </c>
    </row>
    <row r="22" spans="2:14" x14ac:dyDescent="0.25">
      <c r="B22" t="s">
        <v>60</v>
      </c>
      <c r="C22">
        <v>5</v>
      </c>
      <c r="D22">
        <v>35</v>
      </c>
      <c r="E22">
        <v>35</v>
      </c>
    </row>
    <row r="24" spans="2:14" x14ac:dyDescent="0.25">
      <c r="B24" t="s">
        <v>61</v>
      </c>
    </row>
    <row r="25" spans="2:14" x14ac:dyDescent="0.25">
      <c r="B25" t="s">
        <v>56</v>
      </c>
      <c r="C25" t="s">
        <v>62</v>
      </c>
      <c r="D25" t="s">
        <v>62</v>
      </c>
      <c r="E25" t="s">
        <v>62</v>
      </c>
    </row>
    <row r="26" spans="2:14" x14ac:dyDescent="0.25">
      <c r="B26" t="s">
        <v>63</v>
      </c>
      <c r="C26">
        <v>4</v>
      </c>
      <c r="D26">
        <v>4</v>
      </c>
      <c r="E26">
        <v>4</v>
      </c>
    </row>
    <row r="27" spans="2:14" x14ac:dyDescent="0.25">
      <c r="B27" t="s">
        <v>48</v>
      </c>
      <c r="C27">
        <v>5.2164999999999999</v>
      </c>
      <c r="D27">
        <v>0.1066</v>
      </c>
      <c r="E27">
        <v>0.1066</v>
      </c>
    </row>
    <row r="28" spans="2:14" x14ac:dyDescent="0.25">
      <c r="B28" t="s">
        <v>64</v>
      </c>
      <c r="C28" t="s">
        <v>45</v>
      </c>
      <c r="D28" t="s">
        <v>45</v>
      </c>
      <c r="E28" t="s">
        <v>45</v>
      </c>
    </row>
    <row r="29" spans="2:14" x14ac:dyDescent="0.25">
      <c r="B29" t="s">
        <v>65</v>
      </c>
      <c r="C29" t="s">
        <v>45</v>
      </c>
      <c r="D29" t="s">
        <v>45</v>
      </c>
      <c r="E29" t="s">
        <v>45</v>
      </c>
    </row>
    <row r="30" spans="2:14" x14ac:dyDescent="0.25">
      <c r="B30" t="s">
        <v>66</v>
      </c>
      <c r="C30" t="s">
        <v>67</v>
      </c>
      <c r="D30" t="s">
        <v>67</v>
      </c>
      <c r="E30" t="s">
        <v>67</v>
      </c>
    </row>
    <row r="31" spans="2:14" x14ac:dyDescent="0.25">
      <c r="B31" t="s">
        <v>68</v>
      </c>
      <c r="C31">
        <v>0.2</v>
      </c>
      <c r="D31">
        <v>0.2</v>
      </c>
      <c r="E31">
        <v>0.2</v>
      </c>
    </row>
    <row r="33" spans="2:5" x14ac:dyDescent="0.25">
      <c r="B33" t="s">
        <v>69</v>
      </c>
    </row>
    <row r="34" spans="2:5" x14ac:dyDescent="0.25">
      <c r="B34" t="s">
        <v>70</v>
      </c>
      <c r="C34" t="s">
        <v>71</v>
      </c>
      <c r="D34" t="s">
        <v>71</v>
      </c>
      <c r="E34" t="s">
        <v>71</v>
      </c>
    </row>
    <row r="36" spans="2:5" x14ac:dyDescent="0.25">
      <c r="B36" t="s">
        <v>72</v>
      </c>
    </row>
    <row r="37" spans="2:5" x14ac:dyDescent="0.25">
      <c r="B37" t="s">
        <v>73</v>
      </c>
      <c r="C37">
        <v>74.430999999999997</v>
      </c>
      <c r="D37">
        <v>1.5209999999999999</v>
      </c>
      <c r="E37">
        <v>1.5209999999999999</v>
      </c>
    </row>
    <row r="38" spans="2:5" x14ac:dyDescent="0.25">
      <c r="B38" t="s">
        <v>74</v>
      </c>
      <c r="C38">
        <v>2.0649999999999999</v>
      </c>
      <c r="D38">
        <v>4.2200000000000001E-2</v>
      </c>
      <c r="E38">
        <v>4.2200000000000001E-2</v>
      </c>
    </row>
    <row r="39" spans="2:5" x14ac:dyDescent="0.25">
      <c r="B39" t="s">
        <v>75</v>
      </c>
      <c r="C39">
        <v>0.44400000000000001</v>
      </c>
      <c r="D39">
        <v>0.44400000000000001</v>
      </c>
      <c r="E39">
        <v>0.44400000000000001</v>
      </c>
    </row>
    <row r="40" spans="2:5" x14ac:dyDescent="0.25">
      <c r="B40" t="s">
        <v>76</v>
      </c>
      <c r="C40">
        <v>0.25</v>
      </c>
      <c r="D40">
        <v>0.246</v>
      </c>
      <c r="E40">
        <v>0.246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7259-20F3-470C-A902-FA1E2D789035}">
  <dimension ref="B2:D31"/>
  <sheetViews>
    <sheetView workbookViewId="0">
      <selection activeCell="C31" sqref="C31"/>
    </sheetView>
  </sheetViews>
  <sheetFormatPr defaultRowHeight="15" x14ac:dyDescent="0.25"/>
  <cols>
    <col min="2" max="2" width="27.42578125" bestFit="1" customWidth="1"/>
    <col min="3" max="3" width="8.7109375" bestFit="1" customWidth="1"/>
  </cols>
  <sheetData>
    <row r="2" spans="2:4" x14ac:dyDescent="0.25">
      <c r="B2" t="s">
        <v>0</v>
      </c>
      <c r="C2">
        <v>8619.3529999999992</v>
      </c>
      <c r="D2" t="s">
        <v>1</v>
      </c>
    </row>
    <row r="3" spans="2:4" x14ac:dyDescent="0.25">
      <c r="B3" t="s">
        <v>2</v>
      </c>
      <c r="C3">
        <v>8409.125</v>
      </c>
      <c r="D3" t="s">
        <v>3</v>
      </c>
    </row>
    <row r="4" spans="2:4" x14ac:dyDescent="0.25">
      <c r="B4" t="s">
        <v>4</v>
      </c>
      <c r="C4">
        <v>7.6020000000000003</v>
      </c>
      <c r="D4" t="s">
        <v>5</v>
      </c>
    </row>
    <row r="5" spans="2:4" x14ac:dyDescent="0.25">
      <c r="B5" t="s">
        <v>6</v>
      </c>
      <c r="C5">
        <v>7.577</v>
      </c>
      <c r="D5" t="s">
        <v>5</v>
      </c>
    </row>
    <row r="6" spans="2:4" x14ac:dyDescent="0.25">
      <c r="B6" t="s">
        <v>7</v>
      </c>
      <c r="C6">
        <v>154.07300000000001</v>
      </c>
      <c r="D6" t="s">
        <v>5</v>
      </c>
    </row>
    <row r="7" spans="2:4" x14ac:dyDescent="0.25">
      <c r="B7" t="s">
        <v>8</v>
      </c>
      <c r="C7">
        <v>18.79</v>
      </c>
      <c r="D7" t="s">
        <v>5</v>
      </c>
    </row>
    <row r="8" spans="2:4" x14ac:dyDescent="0.25">
      <c r="B8" t="s">
        <v>9</v>
      </c>
      <c r="C8">
        <v>3194.6309999999999</v>
      </c>
      <c r="D8" t="s">
        <v>10</v>
      </c>
    </row>
    <row r="9" spans="2:4" x14ac:dyDescent="0.25">
      <c r="B9" t="s">
        <v>11</v>
      </c>
      <c r="C9">
        <v>86.501999999999995</v>
      </c>
      <c r="D9" t="s">
        <v>10</v>
      </c>
    </row>
    <row r="10" spans="2:4" x14ac:dyDescent="0.25">
      <c r="B10" t="s">
        <v>12</v>
      </c>
      <c r="C10">
        <v>2268.7829999999999</v>
      </c>
      <c r="D10" t="s">
        <v>10</v>
      </c>
    </row>
    <row r="11" spans="2:4" x14ac:dyDescent="0.25">
      <c r="B11" t="s">
        <v>13</v>
      </c>
      <c r="C11">
        <v>0.63100000000000001</v>
      </c>
    </row>
    <row r="12" spans="2:4" x14ac:dyDescent="0.25">
      <c r="B12" t="s">
        <v>14</v>
      </c>
      <c r="C12">
        <v>0.38300000000000001</v>
      </c>
    </row>
    <row r="13" spans="2:4" x14ac:dyDescent="0.25">
      <c r="B13" t="s">
        <v>15</v>
      </c>
      <c r="C13">
        <v>0.83699999999999997</v>
      </c>
    </row>
    <row r="14" spans="2:4" x14ac:dyDescent="0.25">
      <c r="B14" t="s">
        <v>16</v>
      </c>
      <c r="C14">
        <v>0.78400000000000003</v>
      </c>
    </row>
    <row r="15" spans="2:4" x14ac:dyDescent="0.25">
      <c r="B15" t="s">
        <v>17</v>
      </c>
      <c r="C15">
        <v>-2.6150000000000002</v>
      </c>
      <c r="D15" t="s">
        <v>5</v>
      </c>
    </row>
    <row r="16" spans="2:4" x14ac:dyDescent="0.25">
      <c r="B16" t="s">
        <v>18</v>
      </c>
      <c r="C16">
        <v>-11.206</v>
      </c>
      <c r="D16" t="s">
        <v>5</v>
      </c>
    </row>
    <row r="17" spans="2:4" x14ac:dyDescent="0.25">
      <c r="B17" t="s">
        <v>19</v>
      </c>
      <c r="C17">
        <v>-1.6970000000000001</v>
      </c>
      <c r="D17" t="s">
        <v>20</v>
      </c>
    </row>
    <row r="18" spans="2:4" x14ac:dyDescent="0.25">
      <c r="B18" t="s">
        <v>21</v>
      </c>
      <c r="C18">
        <v>-7.2729999999999997</v>
      </c>
      <c r="D18" t="s">
        <v>20</v>
      </c>
    </row>
    <row r="19" spans="2:4" x14ac:dyDescent="0.25">
      <c r="B19" t="s">
        <v>22</v>
      </c>
      <c r="C19">
        <v>5.3780000000000001</v>
      </c>
      <c r="D19" t="s">
        <v>5</v>
      </c>
    </row>
    <row r="20" spans="2:4" x14ac:dyDescent="0.25">
      <c r="B20" t="s">
        <v>23</v>
      </c>
      <c r="C20">
        <v>9.8789999999999996</v>
      </c>
      <c r="D20" t="s">
        <v>5</v>
      </c>
    </row>
    <row r="21" spans="2:4" x14ac:dyDescent="0.25">
      <c r="B21" t="s">
        <v>24</v>
      </c>
      <c r="C21">
        <v>6.5659999999999998</v>
      </c>
      <c r="D21" t="s">
        <v>5</v>
      </c>
    </row>
    <row r="22" spans="2:4" x14ac:dyDescent="0.25">
      <c r="B22" t="s">
        <v>25</v>
      </c>
      <c r="C22">
        <v>371.21</v>
      </c>
      <c r="D22" t="s">
        <v>5</v>
      </c>
    </row>
    <row r="23" spans="2:4" x14ac:dyDescent="0.25">
      <c r="B23" t="s">
        <v>26</v>
      </c>
      <c r="C23">
        <v>2.0649999999999999</v>
      </c>
      <c r="D23" t="s">
        <v>5</v>
      </c>
    </row>
    <row r="24" spans="2:4" x14ac:dyDescent="0.25">
      <c r="B24" t="s">
        <v>27</v>
      </c>
      <c r="C24">
        <v>366.709</v>
      </c>
      <c r="D24" t="s">
        <v>5</v>
      </c>
    </row>
    <row r="25" spans="2:4" x14ac:dyDescent="0.25">
      <c r="B25" t="s">
        <v>28</v>
      </c>
      <c r="C25">
        <v>11.944000000000001</v>
      </c>
      <c r="D25" t="s">
        <v>5</v>
      </c>
    </row>
    <row r="26" spans="2:4" x14ac:dyDescent="0.25">
      <c r="B26" t="s">
        <v>29</v>
      </c>
      <c r="C26">
        <v>376.58800000000002</v>
      </c>
      <c r="D26" t="s">
        <v>5</v>
      </c>
    </row>
    <row r="27" spans="2:4" x14ac:dyDescent="0.25">
      <c r="B27" t="s">
        <v>30</v>
      </c>
      <c r="C27">
        <v>23.254999999999999</v>
      </c>
      <c r="D27" t="s">
        <v>31</v>
      </c>
    </row>
    <row r="28" spans="2:4" x14ac:dyDescent="0.25">
      <c r="B28" t="s">
        <v>32</v>
      </c>
      <c r="C28">
        <v>205.149</v>
      </c>
      <c r="D28" t="s">
        <v>33</v>
      </c>
    </row>
    <row r="29" spans="2:4" x14ac:dyDescent="0.25">
      <c r="B29" t="s">
        <v>34</v>
      </c>
      <c r="C29">
        <v>310.654</v>
      </c>
      <c r="D29" t="s">
        <v>33</v>
      </c>
    </row>
    <row r="30" spans="2:4" x14ac:dyDescent="0.25">
      <c r="B30" t="s">
        <v>35</v>
      </c>
      <c r="C30" t="s">
        <v>36</v>
      </c>
      <c r="D30" t="s">
        <v>37</v>
      </c>
    </row>
    <row r="31" spans="2:4" x14ac:dyDescent="0.25">
      <c r="B31" t="s">
        <v>38</v>
      </c>
      <c r="C31">
        <f>C21+C19-C23-C4</f>
        <v>2.2769999999999992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Maxsurf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Somayajula</dc:creator>
  <cp:lastModifiedBy>Abhilash Somayajula</cp:lastModifiedBy>
  <dcterms:created xsi:type="dcterms:W3CDTF">2015-06-05T18:17:20Z</dcterms:created>
  <dcterms:modified xsi:type="dcterms:W3CDTF">2024-09-13T23:00:21Z</dcterms:modified>
</cp:coreProperties>
</file>